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3064EAC-A1F0-4448-8590-9B867BB121D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B Test Stat Sig" sheetId="3" r:id="rId1"/>
    <sheet name="AB Test Forecast Modul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9" i="4" l="1"/>
  <c r="E16" i="4"/>
  <c r="E15" i="4"/>
  <c r="E17" i="4" s="1"/>
  <c r="E9" i="4"/>
  <c r="E6" i="4"/>
  <c r="D30" i="3"/>
  <c r="D29" i="3"/>
  <c r="E7" i="3"/>
  <c r="D20" i="3" s="1"/>
  <c r="D7" i="3"/>
  <c r="C11" i="3" s="1"/>
  <c r="C13" i="3" s="1"/>
  <c r="C15" i="3" s="1"/>
  <c r="D21" i="3" s="1"/>
  <c r="E26" i="4" l="1"/>
  <c r="E20" i="4"/>
  <c r="E21" i="4" s="1"/>
  <c r="E30" i="4" s="1"/>
  <c r="F30" i="4" s="1"/>
  <c r="E28" i="4" l="1"/>
  <c r="E27" i="4"/>
</calcChain>
</file>

<file path=xl/sharedStrings.xml><?xml version="1.0" encoding="utf-8"?>
<sst xmlns="http://schemas.openxmlformats.org/spreadsheetml/2006/main" count="152" uniqueCount="139">
  <si>
    <t>Row</t>
  </si>
  <si>
    <t>Column A (Label)</t>
  </si>
  <si>
    <t>Column B (Group A - Control)</t>
  </si>
  <si>
    <t>Column C (Group B - Variant)</t>
  </si>
  <si>
    <t>Formula</t>
  </si>
  <si>
    <t>What it asks</t>
  </si>
  <si>
    <t>The Goal</t>
  </si>
  <si>
    <t>Metric</t>
  </si>
  <si>
    <t>Control</t>
  </si>
  <si>
    <t>Variant</t>
  </si>
  <si>
    <t>Standard Error</t>
  </si>
  <si>
    <t>How "noisy" is my data?</t>
  </si>
  <si>
    <t>Lower is better (more clicks).</t>
  </si>
  <si>
    <t>Clicks (Visitors)</t>
  </si>
  <si>
    <t>Z-Score</t>
  </si>
  <si>
    <t>How big is the gap between A and B?</t>
  </si>
  <si>
    <t>Higher is better (&gt; 1.96).</t>
  </si>
  <si>
    <t>Conversions</t>
  </si>
  <si>
    <t>Confidence Level</t>
  </si>
  <si>
    <t>How sure am I that this wasn't luck?</t>
  </si>
  <si>
    <t>Target 95% or higher.</t>
  </si>
  <si>
    <t>Conversion Rate</t>
  </si>
  <si>
    <t>Calculate the Standard Error (SE):</t>
  </si>
  <si>
    <t>Calculate the Z-Score:</t>
  </si>
  <si>
    <t>Calculate the Confidence Level:</t>
  </si>
  <si>
    <t>Pro Tip: If the Confidence Level is &gt; 0.95, your test is statistically significant. You have a winner!</t>
  </si>
  <si>
    <t>Cell</t>
  </si>
  <si>
    <t>Label</t>
  </si>
  <si>
    <t>Formula/Value</t>
  </si>
  <si>
    <t>A10</t>
  </si>
  <si>
    <t>Incremental Lift (%)</t>
  </si>
  <si>
    <t>A11</t>
  </si>
  <si>
    <t>Statistical Significance</t>
  </si>
  <si>
    <t>Value / Formula</t>
  </si>
  <si>
    <t>Explanation</t>
  </si>
  <si>
    <t>Baseline Conv. Rate</t>
  </si>
  <si>
    <t>Your current performance.</t>
  </si>
  <si>
    <t>Expected Uplift</t>
  </si>
  <si>
    <t>How much better you think the new ad is.</t>
  </si>
  <si>
    <t>Target Conv. Rate</t>
  </si>
  <si>
    <t>This would be 2.3%.</t>
  </si>
  <si>
    <t>Required Sample Size</t>
  </si>
  <si>
    <t>How many clicks you need to "prove" this 15% lift.</t>
  </si>
  <si>
    <t>Input Historical Data</t>
  </si>
  <si>
    <t>Example Value</t>
  </si>
  <si>
    <t>Where to find it?</t>
  </si>
  <si>
    <t>B1</t>
  </si>
  <si>
    <t>Total Clicks</t>
  </si>
  <si>
    <t>Historical "Clicks" column.</t>
  </si>
  <si>
    <t>B2</t>
  </si>
  <si>
    <t>Total Conversions</t>
  </si>
  <si>
    <t>Historical "Conversions" column.</t>
  </si>
  <si>
    <t>B3</t>
  </si>
  <si>
    <t>Baseline CR (p)</t>
  </si>
  <si>
    <t>This is your starting point.</t>
  </si>
  <si>
    <t>B4</t>
  </si>
  <si>
    <t>Avg. CPC ($)</t>
  </si>
  <si>
    <t>Historical Cost / Clicks.</t>
  </si>
  <si>
    <t>B5</t>
  </si>
  <si>
    <t>Available Testing Budget</t>
  </si>
  <si>
    <t>User Input: What are you willing to spend?</t>
  </si>
  <si>
    <t>B6</t>
  </si>
  <si>
    <t>Max Clicks Available (n)</t>
  </si>
  <si>
    <t>Total budget divided by CPC, then divided by 2 (for 2 groups)</t>
  </si>
  <si>
    <t>B7</t>
  </si>
  <si>
    <t>Historical Days in Period</t>
  </si>
  <si>
    <t>Set the "Risk" Parameters (The "Z-Score" Engine)</t>
  </si>
  <si>
    <t>Input/Formula</t>
  </si>
  <si>
    <t>What it means</t>
  </si>
  <si>
    <t>Test Strategy</t>
  </si>
  <si>
    <t>Confidence</t>
  </si>
  <si>
    <t>Power</t>
  </si>
  <si>
    <t>The Constant (K)</t>
  </si>
  <si>
    <t>Required Clicks</t>
  </si>
  <si>
    <t>B8</t>
  </si>
  <si>
    <t>Risk of a False Positive.</t>
  </si>
  <si>
    <t>Aggressive/Fast</t>
  </si>
  <si>
    <t>~6.0</t>
  </si>
  <si>
    <t>Lowest (Fastest)</t>
  </si>
  <si>
    <t>B9</t>
  </si>
  <si>
    <t>Statistical Power</t>
  </si>
  <si>
    <t>Risk of missing a real win.</t>
  </si>
  <si>
    <t>Standard (Default)</t>
  </si>
  <si>
    <t>15.7 (16)</t>
  </si>
  <si>
    <t>Medium</t>
  </si>
  <si>
    <t>B10</t>
  </si>
  <si>
    <t>Z-Score (Conf)</t>
  </si>
  <si>
    <t>Result: 1.96</t>
  </si>
  <si>
    <t>Strict/High-Stakes</t>
  </si>
  <si>
    <t>~23.0</t>
  </si>
  <si>
    <t>High (Slowest)</t>
  </si>
  <si>
    <t>B11</t>
  </si>
  <si>
    <t>Z-Score (Power)</t>
  </si>
  <si>
    <t>Result: 0.84</t>
  </si>
  <si>
    <t>Medical/Scientific</t>
  </si>
  <si>
    <t>~44.0</t>
  </si>
  <si>
    <t>Extremely High</t>
  </si>
  <si>
    <t>B12</t>
  </si>
  <si>
    <t>Result: 15.68 (Your "16")</t>
  </si>
  <si>
    <t>Define the MDE (The "Ambition")</t>
  </si>
  <si>
    <t>Value</t>
  </si>
  <si>
    <t>Recommendation Logic</t>
  </si>
  <si>
    <t>B13</t>
  </si>
  <si>
    <t>Max Clicks (per group)</t>
  </si>
  <si>
    <t>Budget Committed</t>
  </si>
  <si>
    <t>$5,000</t>
  </si>
  <si>
    <t>--</t>
  </si>
  <si>
    <t>B14</t>
  </si>
  <si>
    <t>Possible Absolute Lift</t>
  </si>
  <si>
    <t>Detection Ability</t>
  </si>
  <si>
    <t>25% Lift</t>
  </si>
  <si>
    <t>"We can only see 'Home Run' wins."</t>
  </si>
  <si>
    <t>B15</t>
  </si>
  <si>
    <t>Possible Relative MDE</t>
  </si>
  <si>
    <t>Budget Required</t>
  </si>
  <si>
    <t>Result Logic</t>
  </si>
  <si>
    <t>Action</t>
  </si>
  <si>
    <t>Change in Sheet</t>
  </si>
  <si>
    <t>New MDE Result</t>
  </si>
  <si>
    <t>B16</t>
  </si>
  <si>
    <t>Target MDE</t>
  </si>
  <si>
    <t>User Input: The win you want to see.</t>
  </si>
  <si>
    <t>Increase Budget</t>
  </si>
  <si>
    <t>Change Budget to $60,000</t>
  </si>
  <si>
    <t>~25%</t>
  </si>
  <si>
    <t>B17</t>
  </si>
  <si>
    <t>Req. Clicks (Total)</t>
  </si>
  <si>
    <t>Total clicks for both A and B.</t>
  </si>
  <si>
    <t>Lower Confidence</t>
  </si>
  <si>
    <t>Change Confidence to 80%</t>
  </si>
  <si>
    <t>~62% (Faster, but riskier)</t>
  </si>
  <si>
    <t>B18</t>
  </si>
  <si>
    <t>The Final Dollar Amount.</t>
  </si>
  <si>
    <t>Higher Baseline</t>
  </si>
  <si>
    <t>Target a 10% CR (Retargeting)</t>
  </si>
  <si>
    <t>~38%</t>
  </si>
  <si>
    <t>B19</t>
  </si>
  <si>
    <t>Days to Complete</t>
  </si>
  <si>
    <t>Strategic 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</si>
</sst>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0"/>
      <color rgb="FF1F1F1F"/>
      <name val="&quot;Google Sans Text&quot;"/>
    </font>
    <font>
      <sz val="10"/>
      <color rgb="FF1F1F1F"/>
      <name val="&quot;Google Sans Text&quot;"/>
    </font>
    <font>
      <sz val="10"/>
      <color rgb="FF444746"/>
      <name val="&quot;Google Sans Text&quot;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b/>
      <sz val="10"/>
      <color rgb="FF444746"/>
      <name val="&quot;Google Sans Text&quot;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4" fillId="0" borderId="0" xfId="0" applyFont="1" applyAlignment="1"/>
    <xf numFmtId="2" fontId="4" fillId="0" borderId="0" xfId="0" applyNumberFormat="1" applyFont="1" applyAlignment="1">
      <alignment horizontal="center"/>
    </xf>
    <xf numFmtId="10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9" fontId="3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10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0" fontId="3" fillId="0" borderId="1" xfId="0" applyNumberFormat="1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3:J30"/>
  <sheetViews>
    <sheetView workbookViewId="0">
      <selection activeCell="I11" sqref="I11"/>
    </sheetView>
  </sheetViews>
  <sheetFormatPr defaultColWidth="12.6328125" defaultRowHeight="15.75" customHeight="1"/>
  <cols>
    <col min="2" max="2" width="11.453125" customWidth="1"/>
    <col min="3" max="3" width="19.6328125" customWidth="1"/>
    <col min="4" max="4" width="26.6328125" bestFit="1" customWidth="1"/>
    <col min="5" max="5" width="41.26953125" bestFit="1" customWidth="1"/>
    <col min="8" max="8" width="15.7265625" bestFit="1" customWidth="1"/>
    <col min="9" max="9" width="31.36328125" bestFit="1" customWidth="1"/>
    <col min="10" max="10" width="26.26953125" bestFit="1" customWidth="1"/>
  </cols>
  <sheetData>
    <row r="3" spans="2:10">
      <c r="B3" s="1" t="s">
        <v>0</v>
      </c>
      <c r="C3" s="1" t="s">
        <v>1</v>
      </c>
      <c r="D3" s="1" t="s">
        <v>2</v>
      </c>
      <c r="E3" s="1" t="s">
        <v>3</v>
      </c>
      <c r="H3" s="2" t="s">
        <v>4</v>
      </c>
      <c r="I3" s="2" t="s">
        <v>5</v>
      </c>
      <c r="J3" s="2" t="s">
        <v>6</v>
      </c>
    </row>
    <row r="4" spans="2:10">
      <c r="B4" s="3">
        <v>1</v>
      </c>
      <c r="C4" s="4" t="s">
        <v>7</v>
      </c>
      <c r="D4" s="4" t="s">
        <v>8</v>
      </c>
      <c r="E4" s="4" t="s">
        <v>9</v>
      </c>
      <c r="H4" s="2" t="s">
        <v>10</v>
      </c>
      <c r="I4" s="5" t="s">
        <v>11</v>
      </c>
      <c r="J4" s="2" t="s">
        <v>12</v>
      </c>
    </row>
    <row r="5" spans="2:10">
      <c r="B5" s="3">
        <v>2</v>
      </c>
      <c r="C5" s="3" t="s">
        <v>13</v>
      </c>
      <c r="D5" s="3">
        <v>1000</v>
      </c>
      <c r="E5" s="3">
        <v>1000</v>
      </c>
      <c r="H5" s="2" t="s">
        <v>14</v>
      </c>
      <c r="I5" s="5" t="s">
        <v>15</v>
      </c>
      <c r="J5" s="2" t="s">
        <v>16</v>
      </c>
    </row>
    <row r="6" spans="2:10">
      <c r="B6" s="3">
        <v>3</v>
      </c>
      <c r="C6" s="3" t="s">
        <v>17</v>
      </c>
      <c r="D6" s="3">
        <v>20</v>
      </c>
      <c r="E6" s="3">
        <v>35</v>
      </c>
      <c r="H6" s="2" t="s">
        <v>18</v>
      </c>
      <c r="I6" s="5" t="s">
        <v>19</v>
      </c>
      <c r="J6" s="2" t="s">
        <v>20</v>
      </c>
    </row>
    <row r="7" spans="2:10" ht="15.75" customHeight="1">
      <c r="B7" s="3">
        <v>4</v>
      </c>
      <c r="C7" s="3" t="s">
        <v>21</v>
      </c>
      <c r="D7" s="6">
        <f t="shared" ref="D7:E7" si="0">D6/D5</f>
        <v>0.02</v>
      </c>
      <c r="E7" s="7">
        <f t="shared" si="0"/>
        <v>3.5000000000000003E-2</v>
      </c>
    </row>
    <row r="10" spans="2:10" ht="15.75" customHeight="1">
      <c r="B10" s="8" t="s">
        <v>22</v>
      </c>
    </row>
    <row r="11" spans="2:10" ht="15.75" customHeight="1">
      <c r="C11" s="9">
        <f>SQRT((D7*(1-D7)/D5) + (E7*(1-E7)/E5))</f>
        <v>7.3058195981012281E-3</v>
      </c>
    </row>
    <row r="12" spans="2:10" ht="15.75" customHeight="1">
      <c r="B12" s="8" t="s">
        <v>23</v>
      </c>
    </row>
    <row r="13" spans="2:10" ht="15.75" customHeight="1">
      <c r="C13" s="9">
        <f>(E7-D7)/C11</f>
        <v>2.0531577324874655</v>
      </c>
    </row>
    <row r="14" spans="2:10" ht="15.75" customHeight="1">
      <c r="B14" s="8" t="s">
        <v>24</v>
      </c>
    </row>
    <row r="15" spans="2:10" ht="15.75" customHeight="1">
      <c r="C15" s="9">
        <f>NORMSDIST(C13)</f>
        <v>0.979971358874417</v>
      </c>
    </row>
    <row r="16" spans="2:10" ht="15.75" customHeight="1">
      <c r="B16" s="8" t="s">
        <v>25</v>
      </c>
    </row>
    <row r="19" spans="2:5">
      <c r="B19" s="1" t="s">
        <v>26</v>
      </c>
      <c r="C19" s="1" t="s">
        <v>27</v>
      </c>
      <c r="D19" s="1" t="s">
        <v>28</v>
      </c>
    </row>
    <row r="20" spans="2:5">
      <c r="B20" s="4" t="s">
        <v>29</v>
      </c>
      <c r="C20" s="4" t="s">
        <v>30</v>
      </c>
      <c r="D20" s="10">
        <f>(E7-D7)/E7</f>
        <v>0.4285714285714286</v>
      </c>
    </row>
    <row r="21" spans="2:5" ht="13">
      <c r="B21" s="4" t="s">
        <v>31</v>
      </c>
      <c r="C21" s="4" t="s">
        <v>32</v>
      </c>
      <c r="D21" s="6" t="str">
        <f>IF(C15 &gt; 0.95, "Significant Result", "Inconclusive")</f>
        <v>Significant Result</v>
      </c>
    </row>
    <row r="26" spans="2:5" ht="13">
      <c r="B26" s="1" t="s">
        <v>0</v>
      </c>
      <c r="C26" s="1" t="s">
        <v>27</v>
      </c>
      <c r="D26" s="1" t="s">
        <v>33</v>
      </c>
      <c r="E26" s="1" t="s">
        <v>34</v>
      </c>
    </row>
    <row r="27" spans="2:5" ht="13">
      <c r="B27" s="11">
        <v>1</v>
      </c>
      <c r="C27" s="12" t="s">
        <v>35</v>
      </c>
      <c r="D27" s="13">
        <v>0.02</v>
      </c>
      <c r="E27" s="11" t="s">
        <v>36</v>
      </c>
    </row>
    <row r="28" spans="2:5" ht="13">
      <c r="B28" s="11">
        <v>2</v>
      </c>
      <c r="C28" s="12" t="s">
        <v>37</v>
      </c>
      <c r="D28" s="14">
        <v>0.15</v>
      </c>
      <c r="E28" s="11" t="s">
        <v>38</v>
      </c>
    </row>
    <row r="29" spans="2:5" ht="13">
      <c r="B29" s="11">
        <v>3</v>
      </c>
      <c r="C29" s="12" t="s">
        <v>39</v>
      </c>
      <c r="D29" s="15">
        <f>D27 * (1 + D28)</f>
        <v>2.3E-2</v>
      </c>
      <c r="E29" s="11" t="s">
        <v>40</v>
      </c>
    </row>
    <row r="30" spans="2:5" ht="13">
      <c r="B30" s="11">
        <v>4</v>
      </c>
      <c r="C30" s="12" t="s">
        <v>41</v>
      </c>
      <c r="D30" s="16">
        <f>(16 *0.02  * (1 - 0.02)) / (0.15^2)</f>
        <v>13.937777777777779</v>
      </c>
      <c r="E30" s="11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C2:L30"/>
  <sheetViews>
    <sheetView tabSelected="1" topLeftCell="A25" workbookViewId="0">
      <selection activeCell="F35" sqref="F35"/>
    </sheetView>
  </sheetViews>
  <sheetFormatPr defaultColWidth="12.6328125" defaultRowHeight="15.75" customHeight="1"/>
  <cols>
    <col min="4" max="4" width="20.6328125" bestFit="1" customWidth="1"/>
    <col min="5" max="5" width="12.7265625" customWidth="1"/>
    <col min="6" max="6" width="50.6328125" bestFit="1" customWidth="1"/>
    <col min="8" max="8" width="17" bestFit="1" customWidth="1"/>
    <col min="9" max="9" width="23.90625" customWidth="1"/>
    <col min="10" max="10" width="30" bestFit="1" customWidth="1"/>
    <col min="11" max="11" width="15.6328125" bestFit="1" customWidth="1"/>
    <col min="12" max="12" width="14.54296875" bestFit="1" customWidth="1"/>
  </cols>
  <sheetData>
    <row r="2" spans="3:12">
      <c r="C2" s="29" t="s">
        <v>43</v>
      </c>
      <c r="D2" s="30"/>
      <c r="E2" s="31"/>
    </row>
    <row r="3" spans="3:12">
      <c r="C3" s="1" t="s">
        <v>26</v>
      </c>
      <c r="D3" s="1" t="s">
        <v>27</v>
      </c>
      <c r="E3" s="1" t="s">
        <v>44</v>
      </c>
      <c r="F3" s="1" t="s">
        <v>45</v>
      </c>
    </row>
    <row r="4" spans="3:12">
      <c r="C4" s="4" t="s">
        <v>46</v>
      </c>
      <c r="D4" s="3" t="s">
        <v>47</v>
      </c>
      <c r="E4" s="17">
        <v>50000</v>
      </c>
      <c r="F4" s="3" t="s">
        <v>48</v>
      </c>
    </row>
    <row r="5" spans="3:12">
      <c r="C5" s="4" t="s">
        <v>49</v>
      </c>
      <c r="D5" s="3" t="s">
        <v>50</v>
      </c>
      <c r="E5" s="17">
        <v>1000</v>
      </c>
      <c r="F5" s="3" t="s">
        <v>51</v>
      </c>
    </row>
    <row r="6" spans="3:12">
      <c r="C6" s="4" t="s">
        <v>52</v>
      </c>
      <c r="D6" s="4" t="s">
        <v>53</v>
      </c>
      <c r="E6" s="10">
        <f>E5/E4</f>
        <v>0.02</v>
      </c>
      <c r="F6" s="4" t="s">
        <v>54</v>
      </c>
    </row>
    <row r="7" spans="3:12">
      <c r="C7" s="4" t="s">
        <v>55</v>
      </c>
      <c r="D7" s="3" t="s">
        <v>56</v>
      </c>
      <c r="E7" s="18">
        <v>2.5</v>
      </c>
      <c r="F7" s="3" t="s">
        <v>57</v>
      </c>
    </row>
    <row r="8" spans="3:12">
      <c r="C8" s="4" t="s">
        <v>58</v>
      </c>
      <c r="D8" s="8" t="s">
        <v>59</v>
      </c>
      <c r="E8" s="17">
        <v>5000</v>
      </c>
      <c r="F8" s="3" t="s">
        <v>60</v>
      </c>
    </row>
    <row r="9" spans="3:12">
      <c r="C9" s="4" t="s">
        <v>61</v>
      </c>
      <c r="D9" s="8" t="s">
        <v>62</v>
      </c>
      <c r="E9" s="19">
        <f>E8 /E7  / 2</f>
        <v>1000</v>
      </c>
      <c r="F9" s="3" t="s">
        <v>63</v>
      </c>
    </row>
    <row r="10" spans="3:12">
      <c r="C10" s="4" t="s">
        <v>64</v>
      </c>
      <c r="D10" s="8" t="s">
        <v>65</v>
      </c>
      <c r="E10" s="20">
        <v>30</v>
      </c>
      <c r="F10" s="3"/>
    </row>
    <row r="11" spans="3:12">
      <c r="C11" s="29" t="s">
        <v>66</v>
      </c>
      <c r="D11" s="30"/>
      <c r="E11" s="31"/>
    </row>
    <row r="12" spans="3:12">
      <c r="C12" s="1" t="s">
        <v>26</v>
      </c>
      <c r="D12" s="1" t="s">
        <v>27</v>
      </c>
      <c r="E12" s="1" t="s">
        <v>67</v>
      </c>
      <c r="F12" s="1" t="s">
        <v>68</v>
      </c>
      <c r="H12" s="1" t="s">
        <v>69</v>
      </c>
      <c r="I12" s="1" t="s">
        <v>70</v>
      </c>
      <c r="J12" s="1" t="s">
        <v>71</v>
      </c>
      <c r="K12" s="1" t="s">
        <v>72</v>
      </c>
      <c r="L12" s="1" t="s">
        <v>73</v>
      </c>
    </row>
    <row r="13" spans="3:12">
      <c r="C13" s="4" t="s">
        <v>74</v>
      </c>
      <c r="D13" s="3" t="s">
        <v>18</v>
      </c>
      <c r="E13" s="21">
        <v>0.95</v>
      </c>
      <c r="F13" s="3" t="s">
        <v>75</v>
      </c>
      <c r="H13" s="4" t="s">
        <v>76</v>
      </c>
      <c r="I13" s="22">
        <v>0.8</v>
      </c>
      <c r="J13" s="22">
        <v>0.8</v>
      </c>
      <c r="K13" s="4" t="s">
        <v>77</v>
      </c>
      <c r="L13" s="3" t="s">
        <v>78</v>
      </c>
    </row>
    <row r="14" spans="3:12">
      <c r="C14" s="4" t="s">
        <v>79</v>
      </c>
      <c r="D14" s="3" t="s">
        <v>80</v>
      </c>
      <c r="E14" s="21">
        <v>0.8</v>
      </c>
      <c r="F14" s="3" t="s">
        <v>81</v>
      </c>
      <c r="H14" s="4" t="s">
        <v>82</v>
      </c>
      <c r="I14" s="23">
        <v>0.95</v>
      </c>
      <c r="J14" s="23">
        <v>0.8</v>
      </c>
      <c r="K14" s="4" t="s">
        <v>83</v>
      </c>
      <c r="L14" s="3" t="s">
        <v>84</v>
      </c>
    </row>
    <row r="15" spans="3:12">
      <c r="C15" s="4" t="s">
        <v>85</v>
      </c>
      <c r="D15" s="4" t="s">
        <v>86</v>
      </c>
      <c r="E15" s="7">
        <f>_xlfn.NORM.S.INV(1 - ((1-E13)/2))</f>
        <v>1.9599639845400536</v>
      </c>
      <c r="F15" s="3" t="s">
        <v>87</v>
      </c>
      <c r="H15" s="4" t="s">
        <v>88</v>
      </c>
      <c r="I15" s="22">
        <v>0.99</v>
      </c>
      <c r="J15" s="22">
        <v>0.9</v>
      </c>
      <c r="K15" s="4" t="s">
        <v>89</v>
      </c>
      <c r="L15" s="3" t="s">
        <v>90</v>
      </c>
    </row>
    <row r="16" spans="3:12">
      <c r="C16" s="4" t="s">
        <v>91</v>
      </c>
      <c r="D16" s="4" t="s">
        <v>92</v>
      </c>
      <c r="E16" s="7">
        <f>_xlfn.NORM.S.INV(E14)</f>
        <v>0.84162123357291474</v>
      </c>
      <c r="F16" s="3" t="s">
        <v>93</v>
      </c>
      <c r="H16" s="4" t="s">
        <v>94</v>
      </c>
      <c r="I16" s="24">
        <v>0.999</v>
      </c>
      <c r="J16" s="22">
        <v>0.95</v>
      </c>
      <c r="K16" s="4" t="s">
        <v>95</v>
      </c>
      <c r="L16" s="3" t="s">
        <v>96</v>
      </c>
    </row>
    <row r="17" spans="3:10">
      <c r="C17" s="4" t="s">
        <v>97</v>
      </c>
      <c r="D17" s="4" t="s">
        <v>72</v>
      </c>
      <c r="E17" s="7">
        <f>((E15+E16)^2) * 2</f>
        <v>15.697759468698177</v>
      </c>
      <c r="F17" s="3" t="s">
        <v>98</v>
      </c>
    </row>
    <row r="18" spans="3:10">
      <c r="C18" s="29" t="s">
        <v>99</v>
      </c>
      <c r="D18" s="30"/>
      <c r="E18" s="31"/>
      <c r="H18" s="1" t="s">
        <v>7</v>
      </c>
      <c r="I18" s="1" t="s">
        <v>100</v>
      </c>
      <c r="J18" s="1" t="s">
        <v>101</v>
      </c>
    </row>
    <row r="19" spans="3:10">
      <c r="C19" s="4" t="s">
        <v>102</v>
      </c>
      <c r="D19" s="8" t="s">
        <v>103</v>
      </c>
      <c r="E19" s="18">
        <f>(E8 / E7) / 2</f>
        <v>1000</v>
      </c>
      <c r="H19" s="2" t="s">
        <v>104</v>
      </c>
      <c r="I19" s="18" t="s">
        <v>105</v>
      </c>
      <c r="J19" s="5" t="s">
        <v>106</v>
      </c>
    </row>
    <row r="20" spans="3:10">
      <c r="C20" s="4" t="s">
        <v>107</v>
      </c>
      <c r="D20" s="8" t="s">
        <v>108</v>
      </c>
      <c r="E20" s="25">
        <f>SQRT((E17 *E6  * (1-E6)) / E19)</f>
        <v>1.7540697978885682E-2</v>
      </c>
      <c r="H20" s="2" t="s">
        <v>109</v>
      </c>
      <c r="I20" s="18" t="s">
        <v>110</v>
      </c>
      <c r="J20" s="5" t="s">
        <v>111</v>
      </c>
    </row>
    <row r="21" spans="3:10">
      <c r="C21" s="4" t="s">
        <v>112</v>
      </c>
      <c r="D21" s="8" t="s">
        <v>113</v>
      </c>
      <c r="E21" s="25">
        <f>E20 / E6</f>
        <v>0.8770348989442841</v>
      </c>
    </row>
    <row r="23" spans="3:10">
      <c r="C23" s="29" t="s">
        <v>114</v>
      </c>
      <c r="D23" s="30"/>
      <c r="E23" s="31"/>
    </row>
    <row r="24" spans="3:10">
      <c r="C24" s="1" t="s">
        <v>26</v>
      </c>
      <c r="D24" s="1" t="s">
        <v>27</v>
      </c>
      <c r="E24" s="1" t="s">
        <v>4</v>
      </c>
      <c r="F24" s="1" t="s">
        <v>115</v>
      </c>
      <c r="H24" s="1" t="s">
        <v>116</v>
      </c>
      <c r="I24" s="1" t="s">
        <v>117</v>
      </c>
      <c r="J24" s="1" t="s">
        <v>118</v>
      </c>
    </row>
    <row r="25" spans="3:10">
      <c r="C25" s="4" t="s">
        <v>119</v>
      </c>
      <c r="D25" s="3" t="s">
        <v>120</v>
      </c>
      <c r="E25" s="21">
        <v>0.15</v>
      </c>
      <c r="F25" s="4" t="s">
        <v>121</v>
      </c>
      <c r="H25" s="4" t="s">
        <v>122</v>
      </c>
      <c r="I25" s="3" t="s">
        <v>123</v>
      </c>
      <c r="J25" s="4" t="s">
        <v>124</v>
      </c>
    </row>
    <row r="26" spans="3:10">
      <c r="C26" s="4" t="s">
        <v>125</v>
      </c>
      <c r="D26" s="4" t="s">
        <v>126</v>
      </c>
      <c r="E26" s="17">
        <f>((E17 *E6  * (1 - E6)) / (E6 * E25)^2) * 2</f>
        <v>68372.463463663182</v>
      </c>
      <c r="F26" s="3" t="s">
        <v>127</v>
      </c>
      <c r="H26" s="4" t="s">
        <v>128</v>
      </c>
      <c r="I26" s="3" t="s">
        <v>129</v>
      </c>
      <c r="J26" s="4" t="s">
        <v>130</v>
      </c>
    </row>
    <row r="27" spans="3:10">
      <c r="C27" s="4" t="s">
        <v>131</v>
      </c>
      <c r="D27" s="4" t="s">
        <v>114</v>
      </c>
      <c r="E27" s="17">
        <f>E26 * E7</f>
        <v>170931.15865915795</v>
      </c>
      <c r="F27" s="4" t="s">
        <v>132</v>
      </c>
      <c r="H27" s="4" t="s">
        <v>133</v>
      </c>
      <c r="I27" s="3" t="s">
        <v>134</v>
      </c>
      <c r="J27" s="4" t="s">
        <v>135</v>
      </c>
    </row>
    <row r="28" spans="3:10">
      <c r="C28" s="4" t="s">
        <v>136</v>
      </c>
      <c r="D28" s="3" t="s">
        <v>137</v>
      </c>
      <c r="E28" s="26">
        <f>E26 / (E4 / E10)</f>
        <v>41.023478078197904</v>
      </c>
    </row>
    <row r="30" spans="3:10">
      <c r="D30" s="1" t="s">
        <v>138</v>
      </c>
      <c r="E30" s="27">
        <f>E21</f>
        <v>0.8770348989442841</v>
      </c>
      <c r="F30" s="28" t="str">
        <f>IF(E30 &gt; 20%, "STOP: Need bigger budget or test a massive change", "GO: Budget is safe for minor tweaks")</f>
        <v>STOP: Need bigger budget or test a massive change</v>
      </c>
    </row>
  </sheetData>
  <mergeCells count="4">
    <mergeCell ref="C2:E2"/>
    <mergeCell ref="C11:E11"/>
    <mergeCell ref="C18:E18"/>
    <mergeCell ref="C23:E23"/>
  </mergeCells>
  <dataValidations count="2">
    <dataValidation type="list" allowBlank="1" showErrorMessage="1" sqref="E14" xr:uid="{00000000-0002-0000-0300-000000000000}">
      <formula1>$J$13:$J$16</formula1>
    </dataValidation>
    <dataValidation type="list" allowBlank="1" showErrorMessage="1" sqref="E13" xr:uid="{00000000-0002-0000-0300-000001000000}">
      <formula1>$I$13:$I$16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 Test Stat Sig</vt:lpstr>
      <vt:lpstr>AB Test Forecast Module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2026-02-15T11:57:19Z</dcterms:modified>
</cp:coreProperties>
</file>